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 firstSheet="1" activeTab="3"/>
  </bookViews>
  <sheets>
    <sheet name="Start" sheetId="9" r:id="rId1"/>
    <sheet name="FLIP" sheetId="8" r:id="rId2"/>
    <sheet name="flipcoin2" sheetId="13" r:id="rId3"/>
    <sheet name="EMA" sheetId="3" r:id="rId4"/>
    <sheet name="SNR" sheetId="7" r:id="rId5"/>
    <sheet name="SND" sheetId="2" r:id="rId6"/>
    <sheet name="SMC" sheetId="1" r:id="rId7"/>
    <sheet name="AVERAGING" sheetId="4" r:id="rId8"/>
    <sheet name="HEDGING" sheetId="6" r:id="rId9"/>
    <sheet name="INDICATOR" sheetId="11" r:id="rId10"/>
    <sheet name="Psicho" sheetId="12" r:id="rId11"/>
    <sheet name="Breakout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<sst xmlns="http://schemas.openxmlformats.org/spreadsheetml/2006/main" count="108" uniqueCount="101">
  <si>
    <t>Trading Plan/style</t>
  </si>
  <si>
    <t>Breakout</t>
  </si>
  <si>
    <t>Support &amp;resistance</t>
  </si>
  <si>
    <t>Order Block</t>
  </si>
  <si>
    <t>Fibonacci Retracement</t>
  </si>
  <si>
    <t>Indicator</t>
  </si>
  <si>
    <t>Price Action</t>
  </si>
  <si>
    <t>3 EMA</t>
  </si>
  <si>
    <t>Reversal</t>
  </si>
  <si>
    <t>---</t>
  </si>
  <si>
    <t>Konfirmasi Entri RBR &amp; DBD</t>
  </si>
  <si>
    <t>Konfirmasi Entri Order Block</t>
  </si>
  <si>
    <t>False Breakout</t>
  </si>
  <si>
    <t>Manipulasi Harga Market Maker</t>
  </si>
  <si>
    <t>Jebakan Inducement dan Liquidity Sweep</t>
  </si>
  <si>
    <t>Key Level</t>
  </si>
  <si>
    <t>Multi Time Frame</t>
  </si>
  <si>
    <t>cek semua indikator, trend, SNR, Volume, itu di di multiframe jika semua frame memberikan indikator seirama maka itu disebut dengan PREMIUM ANALITIC</t>
  </si>
  <si>
    <t>FASE DALAM TRADING</t>
  </si>
  <si>
    <t>Belajar</t>
  </si>
  <si>
    <t xml:space="preserve">menemukan trading plan, timeframe, RR, </t>
  </si>
  <si>
    <t>Backtest</t>
  </si>
  <si>
    <t>test dengan 100 kali sampai 3 putaran</t>
  </si>
  <si>
    <t>karena "Hystory Repeat it Self"</t>
  </si>
  <si>
    <t>menggunakan trading plan secara konsisten</t>
  </si>
  <si>
    <t>Gunakan Besaran akun dan LOT yang mirip dengan gaya anda nantinya</t>
  </si>
  <si>
    <t>Gunakan spread dan komisi yang mirip dengan aslinya</t>
  </si>
  <si>
    <t>RR, dan TF yang mirip dengan aslinya</t>
  </si>
  <si>
    <t>back test tidakboleh menggeser SL/TP seperti Halnya pada akun real kecuali</t>
  </si>
  <si>
    <t>Boleh menggunakan trailing stop dan Order Limit</t>
  </si>
  <si>
    <t>Buatkan screen shoot pada tiap eksekusi</t>
  </si>
  <si>
    <t>buatkan tabel history dengan conditional formating</t>
  </si>
  <si>
    <t>jika dalam bacaktest ini mengahsilkan jelek coba modifikasi</t>
  </si>
  <si>
    <t>jika belum berhasil di backtest maka tidak perlu repot masuk ke REAL MARKET</t>
  </si>
  <si>
    <t>winrate maksimal 75 % sudah OK lebih dari itu nanti akan berputar2 cari backtest aja</t>
  </si>
  <si>
    <t xml:space="preserve">Selanjutnya minimal pernah ke akun demo betulan supaya </t>
  </si>
  <si>
    <t>disiplin meliputi</t>
  </si>
  <si>
    <t>role, RR, TF, harus konsisten</t>
  </si>
  <si>
    <t>gunakan akun cent untuk menghindari TAKUT dan PD terlalu berlebih</t>
  </si>
  <si>
    <t>test flip coin dengan</t>
  </si>
  <si>
    <t>1:1</t>
  </si>
  <si>
    <t>1:2</t>
  </si>
  <si>
    <t>1:3</t>
  </si>
  <si>
    <t>1:4</t>
  </si>
  <si>
    <t>1:5</t>
  </si>
  <si>
    <t xml:space="preserve">Penemuan Baru dan terapkan pada test apakah dengan SL tinggi itu sangat merugikan </t>
  </si>
  <si>
    <t>2:1</t>
  </si>
  <si>
    <t>3:1</t>
  </si>
  <si>
    <t>4:1</t>
  </si>
  <si>
    <t>5:1</t>
  </si>
  <si>
    <t>flip coin dengan 1:5 dengan 1 sangat rendah, biarkan sering stop lost tapi kan tidak rugi tapi kalau menag pasti untung banyak</t>
  </si>
  <si>
    <t xml:space="preserve">seperti mancing saja kalau rugi hanya rugi umpan dan waktu tapi kalau untung pasti dapat banyak </t>
  </si>
  <si>
    <t>Stochastic, RSI, MACD</t>
  </si>
  <si>
    <t>Scalping Pullback 3 EMA + Price Action</t>
  </si>
  <si>
    <t>winrate tinggi</t>
  </si>
  <si>
    <t>indicator</t>
  </si>
  <si>
    <t>EMA</t>
  </si>
  <si>
    <t>Timeframe 5m</t>
  </si>
  <si>
    <t>SNR</t>
  </si>
  <si>
    <t>ORDER BLOCK</t>
  </si>
  <si>
    <t>Price Action + Order Block &amp; Logika Market</t>
  </si>
  <si>
    <t> Market Maker ; Liquidity Supply &amp; Demand</t>
  </si>
  <si>
    <t>Prinsip dalam SMC (Smart Money Consept)</t>
  </si>
  <si>
    <t>Pergerakan Impulsif</t>
  </si>
  <si>
    <t>pergerakan panjang yang sangat dominan tanpa perlawanan dari lawan</t>
  </si>
  <si>
    <t>Break Of Structur (BOS)</t>
  </si>
  <si>
    <t>garis yang menembus HH atau LL sesuai trend line</t>
  </si>
  <si>
    <t>Change Of Character(CHOCH)</t>
  </si>
  <si>
    <t xml:space="preserve">mirip dengan BOS tapi ketika ber beda dari trend nya </t>
  </si>
  <si>
    <t>Imbalance</t>
  </si>
  <si>
    <t>ada tiga candle besar berjajar dan tidak memiliki gap. jika memiliki gap disebut "Balance"</t>
  </si>
  <si>
    <t>Liquidity</t>
  </si>
  <si>
    <t>AVERAGING</t>
  </si>
  <si>
    <t>adalah style misalnya pembelian (buy) jika ternyata posisi salah arah di biarkan saja,</t>
  </si>
  <si>
    <t>malah cenderung di tambahkan lagi posisi pembelian</t>
  </si>
  <si>
    <t>tidak pasang SL berapapun ruginya (karena pasang lot cent)</t>
  </si>
  <si>
    <t>nanti saat nya harga kembali naik maka tinggal close saat semua sudah profit</t>
  </si>
  <si>
    <t>TP pun tidak di pasang, karena close akan di eksekusi manual</t>
  </si>
  <si>
    <t>KEKURANGAN</t>
  </si>
  <si>
    <t>sebaiknya jangan di praktekan saat skill mentalitas dan tehnikal belum terbentuk</t>
  </si>
  <si>
    <t>karena akan merusak spirit dan juga prinsip tehnikal yang ada</t>
  </si>
  <si>
    <t>jika tidak ada pembatasan misalnya alarm yang benar maka resikonya MARGIN CALL</t>
  </si>
  <si>
    <t>MC adalah hal yang sulit terjadi jika RR1:1 , jadi jika itu sampai terjadi itu adalah konyol</t>
  </si>
  <si>
    <t>Meskipun memiliki winrate tinggi</t>
  </si>
  <si>
    <t>misalnya wah saya gunakan Resiko 0,001, maka nama nya trafer pasti ada salahnya resiko MC</t>
  </si>
  <si>
    <t>kalaupun ketahanan bagus tapi penurunan panjang itu membuat akun tidak produktif</t>
  </si>
  <si>
    <t>lebih baik tetap menggunakan SL di TF besar dan Avearaging di TF kecil</t>
  </si>
  <si>
    <t>TIPS</t>
  </si>
  <si>
    <t>Tetap dilakukan analisis seperti biasa</t>
  </si>
  <si>
    <t>gunakan untuk SCALPING</t>
  </si>
  <si>
    <t>gunakan TIMEFRAME Kecil</t>
  </si>
  <si>
    <t>Cari double trend di dua tingkat lebih besar</t>
  </si>
  <si>
    <t>melihat trend BERSIH(Premium Entry) di TF besar, di eksekusi di trends kecil</t>
  </si>
  <si>
    <t>tetap di berikan alarm bahwa batas toleransi penurunan itu dapat di terima di timeframe besar</t>
  </si>
  <si>
    <t>Gunakan alarm RR 1:2 di TF besar dengan mempertimbangkan besaran total lot yang di resikokan</t>
  </si>
  <si>
    <t>Gunakan akun CENT agar minim resiko</t>
  </si>
  <si>
    <t>gunakan saat sudah memiliki history yang cukup baik di trading plan lainya</t>
  </si>
  <si>
    <t>kecuali hanya untuk backtest dan akun demo saja</t>
  </si>
  <si>
    <t>Test Hedging dengan sedikit sentuhan analisa</t>
  </si>
  <si>
    <t>Test Hedging dengan beberapa RR 1:1, 1:1,5 1:2, 1:3, 1:7</t>
  </si>
  <si>
    <t>Trading bukan untuk menang, melainkan bisa membaca dan menyeleraskan diri dengan market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</si>
</sst>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h:mm"/>
    <numFmt numFmtId="181" formatCode="_(* #,##0_);_(* \(#,##0\);_(* &quot;-&quot;??_);_(@_)"/>
    <numFmt numFmtId="182" formatCode="_(* #,##0.0_);_(* \(#,##0.0\);_(* &quot;-&quot;??.0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180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181" fontId="2" fillId="0" borderId="0" xfId="1" applyNumberFormat="1" applyFont="1">
      <alignment vertical="center"/>
    </xf>
    <xf numFmtId="182" fontId="2" fillId="0" borderId="0" xfId="1" applyNumberFormat="1" applyFont="1">
      <alignment vertical="center"/>
    </xf>
    <xf numFmtId="0" fontId="0" fillId="0" borderId="0" xfId="0" quotePrefix="1">
      <alignment vertical="center"/>
    </xf>
    <xf numFmtId="18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R58"/>
  <sheetViews>
    <sheetView workbookViewId="0">
      <selection activeCell="R21" sqref="R21"/>
    </sheetView>
  </sheetViews>
  <sheetFormatPr defaultColWidth="8.72727272727273" defaultRowHeight="14.5"/>
  <cols>
    <col min="2" max="2" width="3.63636363636364" customWidth="1"/>
    <col min="3" max="4" width="3.72727272727273" customWidth="1"/>
    <col min="5" max="5" width="4.18181818181818" customWidth="1"/>
    <col min="6" max="6" width="25.0909090909091" customWidth="1"/>
    <col min="7" max="7" width="3.54545454545455" customWidth="1"/>
    <col min="8" max="8" width="14.6363636363636" customWidth="1"/>
    <col min="9" max="9" width="4.90909090909091" customWidth="1"/>
    <col min="10" max="10" width="14.6363636363636" customWidth="1"/>
    <col min="11" max="11" width="15.7272727272727" customWidth="1"/>
  </cols>
  <sheetData>
    <row r="8" spans="2:18">
      <c r="B8" t="s"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2:18">
      <c r="B9" t="s">
        <v>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2:18">
      <c r="B10" t="s">
        <v>2</v>
      </c>
      <c r="G10" s="4">
        <v>1</v>
      </c>
      <c r="H10" s="5">
        <v>10000000</v>
      </c>
      <c r="I10" s="6">
        <v>0.35</v>
      </c>
      <c r="J10" s="5">
        <f t="shared" ref="J10:J33" si="0">H10*I10</f>
        <v>3500000</v>
      </c>
      <c r="K10" s="5">
        <f>H10+J10</f>
        <v>13500000</v>
      </c>
      <c r="L10" s="4"/>
      <c r="M10" s="4"/>
      <c r="N10" s="4"/>
      <c r="O10" s="4"/>
      <c r="P10" s="4">
        <f>(30-5)*14</f>
        <v>350</v>
      </c>
      <c r="Q10" s="4"/>
      <c r="R10" s="4"/>
    </row>
    <row r="11" spans="2:18">
      <c r="B11" t="s">
        <v>3</v>
      </c>
      <c r="G11" s="4">
        <v>2</v>
      </c>
      <c r="H11" s="5">
        <f t="shared" ref="H11:H33" si="1">K10</f>
        <v>13500000</v>
      </c>
      <c r="I11" s="6">
        <f>$I$10</f>
        <v>0.35</v>
      </c>
      <c r="J11" s="5">
        <f t="shared" si="0"/>
        <v>4725000</v>
      </c>
      <c r="K11" s="5">
        <f t="shared" ref="K10:K33" si="2">H11+J11</f>
        <v>18225000</v>
      </c>
      <c r="L11" s="4"/>
      <c r="M11" s="4"/>
      <c r="N11" s="4"/>
      <c r="O11" s="4"/>
      <c r="P11" s="4"/>
      <c r="Q11" s="4"/>
      <c r="R11" s="4"/>
    </row>
    <row r="12" spans="2:18">
      <c r="B12" t="s">
        <v>4</v>
      </c>
      <c r="G12" s="4">
        <v>3</v>
      </c>
      <c r="H12" s="5">
        <f t="shared" si="1"/>
        <v>18225000</v>
      </c>
      <c r="I12" s="6">
        <f t="shared" ref="I12:I21" si="3">$I$10</f>
        <v>0.35</v>
      </c>
      <c r="J12" s="5">
        <f t="shared" si="0"/>
        <v>6378750</v>
      </c>
      <c r="K12" s="5">
        <f t="shared" si="2"/>
        <v>24603750</v>
      </c>
      <c r="L12" s="4"/>
      <c r="M12" s="4"/>
      <c r="N12" s="4"/>
      <c r="O12" s="4"/>
      <c r="P12" s="4"/>
      <c r="Q12" s="4"/>
      <c r="R12" s="4"/>
    </row>
    <row r="13" spans="2:18">
      <c r="B13" t="s">
        <v>5</v>
      </c>
      <c r="G13" s="4">
        <v>4</v>
      </c>
      <c r="H13" s="5">
        <f t="shared" si="1"/>
        <v>24603750</v>
      </c>
      <c r="I13" s="6">
        <f t="shared" si="3"/>
        <v>0.35</v>
      </c>
      <c r="J13" s="5">
        <f t="shared" si="0"/>
        <v>8611312.5</v>
      </c>
      <c r="K13" s="5">
        <f t="shared" si="2"/>
        <v>33215062.5</v>
      </c>
      <c r="L13" s="4"/>
      <c r="M13" s="4"/>
      <c r="N13" s="4"/>
      <c r="O13" s="4"/>
      <c r="P13" s="4"/>
      <c r="Q13" s="4"/>
      <c r="R13" s="4"/>
    </row>
    <row r="14" spans="2:18">
      <c r="B14" t="s">
        <v>6</v>
      </c>
      <c r="G14" s="4">
        <v>5</v>
      </c>
      <c r="H14" s="5">
        <f t="shared" si="1"/>
        <v>33215062.5</v>
      </c>
      <c r="I14" s="6">
        <f t="shared" si="3"/>
        <v>0.35</v>
      </c>
      <c r="J14" s="5">
        <f t="shared" si="0"/>
        <v>11625271.875</v>
      </c>
      <c r="K14" s="5">
        <f t="shared" si="2"/>
        <v>44840334.375</v>
      </c>
      <c r="L14" s="4"/>
      <c r="M14" s="4"/>
      <c r="N14" s="4"/>
      <c r="O14" s="4"/>
      <c r="P14" s="4"/>
      <c r="Q14" s="4"/>
      <c r="R14" s="4"/>
    </row>
    <row r="15" spans="2:18">
      <c r="B15" t="s">
        <v>7</v>
      </c>
      <c r="G15" s="4">
        <v>6</v>
      </c>
      <c r="H15" s="5">
        <f t="shared" si="1"/>
        <v>44840334.375</v>
      </c>
      <c r="I15" s="6">
        <f t="shared" si="3"/>
        <v>0.35</v>
      </c>
      <c r="J15" s="5">
        <f t="shared" si="0"/>
        <v>15694117.03125</v>
      </c>
      <c r="K15" s="5">
        <f t="shared" si="2"/>
        <v>60534451.40625</v>
      </c>
      <c r="L15" s="4"/>
      <c r="M15" s="4"/>
      <c r="N15" s="4"/>
      <c r="O15" s="4"/>
      <c r="P15" s="4"/>
      <c r="Q15" s="4"/>
      <c r="R15" s="4"/>
    </row>
    <row r="16" spans="2:18">
      <c r="B16" t="s">
        <v>8</v>
      </c>
      <c r="G16" s="4">
        <v>7</v>
      </c>
      <c r="H16" s="5">
        <f t="shared" si="1"/>
        <v>60534451.40625</v>
      </c>
      <c r="I16" s="6">
        <f t="shared" si="3"/>
        <v>0.35</v>
      </c>
      <c r="J16" s="5">
        <f t="shared" si="0"/>
        <v>21187057.9921875</v>
      </c>
      <c r="K16" s="5">
        <f t="shared" si="2"/>
        <v>81721509.3984375</v>
      </c>
      <c r="L16" s="4"/>
      <c r="M16" s="4"/>
      <c r="N16" s="4"/>
      <c r="O16" s="4"/>
      <c r="P16" s="4"/>
      <c r="Q16" s="4"/>
      <c r="R16" s="4"/>
    </row>
    <row r="17" spans="2:18">
      <c r="B17" s="7" t="s">
        <v>9</v>
      </c>
      <c r="G17" s="4">
        <v>8</v>
      </c>
      <c r="H17" s="5">
        <f t="shared" si="1"/>
        <v>81721509.3984375</v>
      </c>
      <c r="I17" s="6">
        <f t="shared" si="3"/>
        <v>0.35</v>
      </c>
      <c r="J17" s="5">
        <f t="shared" si="0"/>
        <v>28602528.2894531</v>
      </c>
      <c r="K17" s="5">
        <f t="shared" si="2"/>
        <v>110324037.687891</v>
      </c>
      <c r="L17" s="4"/>
      <c r="M17" s="4"/>
      <c r="N17" s="4"/>
      <c r="O17" s="4"/>
      <c r="P17" s="4"/>
      <c r="Q17" s="4"/>
      <c r="R17" s="4"/>
    </row>
    <row r="18" spans="2:18">
      <c r="B18" t="s">
        <v>10</v>
      </c>
      <c r="G18" s="4">
        <v>9</v>
      </c>
      <c r="H18" s="5">
        <f t="shared" si="1"/>
        <v>110324037.687891</v>
      </c>
      <c r="I18" s="6">
        <f t="shared" si="3"/>
        <v>0.35</v>
      </c>
      <c r="J18" s="5">
        <f t="shared" si="0"/>
        <v>38613413.1907617</v>
      </c>
      <c r="K18" s="5">
        <f t="shared" si="2"/>
        <v>148937450.878652</v>
      </c>
      <c r="L18" s="4"/>
      <c r="M18" s="4"/>
      <c r="N18" s="4"/>
      <c r="O18" s="4"/>
      <c r="P18" s="4"/>
      <c r="Q18" s="4"/>
      <c r="R18" s="4"/>
    </row>
    <row r="19" spans="2:18">
      <c r="B19" t="s">
        <v>11</v>
      </c>
      <c r="G19" s="4">
        <v>10</v>
      </c>
      <c r="H19" s="5">
        <f t="shared" si="1"/>
        <v>148937450.878652</v>
      </c>
      <c r="I19" s="6">
        <f t="shared" si="3"/>
        <v>0.35</v>
      </c>
      <c r="J19" s="5">
        <f t="shared" si="0"/>
        <v>52128107.8075283</v>
      </c>
      <c r="K19" s="5">
        <f t="shared" si="2"/>
        <v>201065558.686181</v>
      </c>
      <c r="L19" s="4"/>
      <c r="M19" s="4"/>
      <c r="N19" s="4"/>
      <c r="O19" s="4"/>
      <c r="P19" s="4"/>
      <c r="Q19" s="4"/>
      <c r="R19" s="4"/>
    </row>
    <row r="20" spans="7:18">
      <c r="G20" s="4">
        <v>11</v>
      </c>
      <c r="H20" s="5">
        <f t="shared" si="1"/>
        <v>201065558.686181</v>
      </c>
      <c r="I20" s="6">
        <f t="shared" si="3"/>
        <v>0.35</v>
      </c>
      <c r="J20" s="5">
        <f t="shared" si="0"/>
        <v>70372945.5401632</v>
      </c>
      <c r="K20" s="5">
        <f t="shared" si="2"/>
        <v>271438504.226344</v>
      </c>
      <c r="L20" s="4"/>
      <c r="M20" s="4"/>
      <c r="N20" s="4"/>
      <c r="O20" s="4"/>
      <c r="P20" s="4"/>
      <c r="Q20" s="4"/>
      <c r="R20" s="4"/>
    </row>
    <row r="21" spans="2:18">
      <c r="B21" t="s">
        <v>12</v>
      </c>
      <c r="G21" s="4">
        <v>12</v>
      </c>
      <c r="H21" s="5">
        <f t="shared" si="1"/>
        <v>271438504.226344</v>
      </c>
      <c r="I21" s="6">
        <f t="shared" si="3"/>
        <v>0.35</v>
      </c>
      <c r="J21" s="5">
        <f t="shared" si="0"/>
        <v>95003476.4792203</v>
      </c>
      <c r="K21" s="5">
        <f t="shared" si="2"/>
        <v>366441980.705564</v>
      </c>
      <c r="L21" s="4"/>
      <c r="M21" s="4"/>
      <c r="N21" s="4"/>
      <c r="O21" s="4"/>
      <c r="P21" s="4"/>
      <c r="Q21" s="4"/>
      <c r="R21" s="4"/>
    </row>
    <row r="22" spans="2:18">
      <c r="B22" t="s">
        <v>13</v>
      </c>
      <c r="G22" s="4">
        <v>13</v>
      </c>
      <c r="H22" s="5">
        <f t="shared" si="1"/>
        <v>366441980.705564</v>
      </c>
      <c r="I22" s="6">
        <f t="shared" ref="I22:I33" si="4">$I$10</f>
        <v>0.35</v>
      </c>
      <c r="J22" s="5">
        <f t="shared" si="0"/>
        <v>128254693.246947</v>
      </c>
      <c r="K22" s="5">
        <f t="shared" si="2"/>
        <v>494696673.952512</v>
      </c>
      <c r="L22" s="4"/>
      <c r="M22" s="4"/>
      <c r="N22" s="4"/>
      <c r="O22" s="4"/>
      <c r="P22" s="4"/>
      <c r="Q22" s="4"/>
      <c r="R22" s="4"/>
    </row>
    <row r="23" spans="2:18">
      <c r="B23" t="s">
        <v>14</v>
      </c>
      <c r="G23" s="4">
        <v>14</v>
      </c>
      <c r="H23" s="5">
        <f t="shared" si="1"/>
        <v>494696673.952512</v>
      </c>
      <c r="I23" s="6">
        <f t="shared" si="4"/>
        <v>0.35</v>
      </c>
      <c r="J23" s="5">
        <f t="shared" si="0"/>
        <v>173143835.883379</v>
      </c>
      <c r="K23" s="5">
        <f t="shared" si="2"/>
        <v>667840509.835891</v>
      </c>
      <c r="L23" s="4"/>
      <c r="M23" s="4"/>
      <c r="N23" s="4"/>
      <c r="O23" s="4"/>
      <c r="P23" s="4"/>
      <c r="Q23" s="4"/>
      <c r="R23" s="4"/>
    </row>
    <row r="24" spans="2:18">
      <c r="B24" t="s">
        <v>15</v>
      </c>
      <c r="G24" s="4">
        <v>15</v>
      </c>
      <c r="H24" s="5">
        <f t="shared" si="1"/>
        <v>667840509.835891</v>
      </c>
      <c r="I24" s="6">
        <f t="shared" si="4"/>
        <v>0.35</v>
      </c>
      <c r="J24" s="5">
        <f t="shared" si="0"/>
        <v>233744178.442562</v>
      </c>
      <c r="K24" s="5">
        <f t="shared" si="2"/>
        <v>901584688.278453</v>
      </c>
      <c r="L24" s="4"/>
      <c r="M24" s="4"/>
      <c r="N24" s="4"/>
      <c r="O24" s="4"/>
      <c r="P24" s="4"/>
      <c r="Q24" s="4"/>
      <c r="R24" s="4"/>
    </row>
    <row r="25" spans="2:18">
      <c r="B25" s="7" t="s">
        <v>9</v>
      </c>
      <c r="G25" s="4">
        <v>16</v>
      </c>
      <c r="H25" s="5">
        <f t="shared" si="1"/>
        <v>901584688.278453</v>
      </c>
      <c r="I25" s="6">
        <f t="shared" si="4"/>
        <v>0.35</v>
      </c>
      <c r="J25" s="5">
        <f t="shared" si="0"/>
        <v>315554640.897458</v>
      </c>
      <c r="K25" s="5">
        <f t="shared" si="2"/>
        <v>1217139329.17591</v>
      </c>
      <c r="L25" s="4"/>
      <c r="M25" s="4"/>
      <c r="N25" s="4"/>
      <c r="O25" s="4"/>
      <c r="P25" s="4"/>
      <c r="Q25" s="4"/>
      <c r="R25" s="4"/>
    </row>
    <row r="26" spans="7:18">
      <c r="G26" s="4">
        <v>17</v>
      </c>
      <c r="H26" s="5">
        <f t="shared" si="1"/>
        <v>1217139329.17591</v>
      </c>
      <c r="I26" s="6">
        <f t="shared" si="4"/>
        <v>0.35</v>
      </c>
      <c r="J26" s="5">
        <f t="shared" si="0"/>
        <v>425998765.211569</v>
      </c>
      <c r="K26" s="5">
        <f t="shared" si="2"/>
        <v>1643138094.38748</v>
      </c>
      <c r="L26" s="4"/>
      <c r="M26" s="4"/>
      <c r="N26" s="4"/>
      <c r="O26" s="4"/>
      <c r="P26" s="4"/>
      <c r="Q26" s="4"/>
      <c r="R26" s="4"/>
    </row>
    <row r="27" spans="7:18">
      <c r="G27" s="4">
        <v>18</v>
      </c>
      <c r="H27" s="5">
        <f t="shared" si="1"/>
        <v>1643138094.38748</v>
      </c>
      <c r="I27" s="6">
        <f t="shared" si="4"/>
        <v>0.35</v>
      </c>
      <c r="J27" s="5">
        <f t="shared" si="0"/>
        <v>575098333.035618</v>
      </c>
      <c r="K27" s="5">
        <f t="shared" si="2"/>
        <v>2218236427.4231</v>
      </c>
      <c r="L27" s="4"/>
      <c r="M27" s="4"/>
      <c r="N27" s="4"/>
      <c r="O27" s="4"/>
      <c r="P27" s="4"/>
      <c r="Q27" s="4"/>
      <c r="R27" s="4"/>
    </row>
    <row r="28" spans="2:18">
      <c r="B28" t="s">
        <v>8</v>
      </c>
      <c r="G28" s="4">
        <v>19</v>
      </c>
      <c r="H28" s="5">
        <f t="shared" si="1"/>
        <v>2218236427.4231</v>
      </c>
      <c r="I28" s="6">
        <f t="shared" si="4"/>
        <v>0.35</v>
      </c>
      <c r="J28" s="5">
        <f t="shared" si="0"/>
        <v>776382749.598084</v>
      </c>
      <c r="K28" s="5">
        <f t="shared" si="2"/>
        <v>2994619177.02118</v>
      </c>
      <c r="L28" s="4"/>
      <c r="M28" s="4"/>
      <c r="N28" s="4"/>
      <c r="O28" s="4"/>
      <c r="P28" s="4"/>
      <c r="Q28" s="4"/>
      <c r="R28" s="4"/>
    </row>
    <row r="29" spans="7:18">
      <c r="G29" s="4">
        <v>20</v>
      </c>
      <c r="H29" s="5">
        <f t="shared" si="1"/>
        <v>2994619177.02118</v>
      </c>
      <c r="I29" s="6">
        <f t="shared" si="4"/>
        <v>0.35</v>
      </c>
      <c r="J29" s="5">
        <f t="shared" si="0"/>
        <v>1048116711.95741</v>
      </c>
      <c r="K29" s="5">
        <f t="shared" si="2"/>
        <v>4042735888.97859</v>
      </c>
      <c r="L29" s="4"/>
      <c r="M29" s="4"/>
      <c r="N29" s="4"/>
      <c r="O29" s="4"/>
      <c r="P29" s="4"/>
      <c r="Q29" s="4"/>
      <c r="R29" s="4"/>
    </row>
    <row r="30" spans="7:18">
      <c r="G30" s="4">
        <v>21</v>
      </c>
      <c r="H30" s="5">
        <f t="shared" si="1"/>
        <v>4042735888.97859</v>
      </c>
      <c r="I30" s="6">
        <f t="shared" si="4"/>
        <v>0.35</v>
      </c>
      <c r="J30" s="5">
        <f t="shared" si="0"/>
        <v>1414957561.14251</v>
      </c>
      <c r="K30" s="5">
        <f t="shared" si="2"/>
        <v>5457693450.1211</v>
      </c>
      <c r="L30" s="4"/>
      <c r="M30" s="4"/>
      <c r="N30" s="4"/>
      <c r="O30" s="4"/>
      <c r="P30" s="4"/>
      <c r="Q30" s="4"/>
      <c r="R30" s="4"/>
    </row>
    <row r="31" spans="7:18">
      <c r="G31" s="4">
        <v>22</v>
      </c>
      <c r="H31" s="5">
        <f t="shared" si="1"/>
        <v>5457693450.1211</v>
      </c>
      <c r="I31" s="6">
        <f t="shared" si="4"/>
        <v>0.35</v>
      </c>
      <c r="J31" s="5">
        <f t="shared" si="0"/>
        <v>1910192707.54239</v>
      </c>
      <c r="K31" s="5">
        <f t="shared" si="2"/>
        <v>7367886157.66349</v>
      </c>
      <c r="L31" s="4"/>
      <c r="M31" s="4"/>
      <c r="N31" s="4"/>
      <c r="O31" s="4"/>
      <c r="P31" s="4"/>
      <c r="Q31" s="4"/>
      <c r="R31" s="4"/>
    </row>
    <row r="32" spans="7:18">
      <c r="G32" s="4">
        <v>23</v>
      </c>
      <c r="H32" s="5">
        <f t="shared" si="1"/>
        <v>7367886157.66349</v>
      </c>
      <c r="I32" s="6">
        <f t="shared" si="4"/>
        <v>0.35</v>
      </c>
      <c r="J32" s="5">
        <f t="shared" si="0"/>
        <v>2578760155.18222</v>
      </c>
      <c r="K32" s="5">
        <f t="shared" si="2"/>
        <v>9946646312.84571</v>
      </c>
      <c r="L32" s="4"/>
      <c r="M32" s="4"/>
      <c r="N32" s="4"/>
      <c r="O32" s="4"/>
      <c r="P32" s="4"/>
      <c r="Q32" s="4"/>
      <c r="R32" s="4"/>
    </row>
    <row r="33" spans="7:18">
      <c r="G33" s="4">
        <v>24</v>
      </c>
      <c r="H33" s="5">
        <f t="shared" si="1"/>
        <v>9946646312.84571</v>
      </c>
      <c r="I33" s="6">
        <f t="shared" si="4"/>
        <v>0.35</v>
      </c>
      <c r="J33" s="5">
        <f t="shared" si="0"/>
        <v>3481326209.496</v>
      </c>
      <c r="K33" s="5">
        <f t="shared" si="2"/>
        <v>13427972522.3417</v>
      </c>
      <c r="L33" s="4"/>
      <c r="M33" s="4"/>
      <c r="N33" s="4"/>
      <c r="O33" s="4"/>
      <c r="P33" s="4"/>
      <c r="Q33" s="4"/>
      <c r="R33" s="4"/>
    </row>
    <row r="34" spans="2:18">
      <c r="B34" t="s">
        <v>16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2:18">
      <c r="B35" t="s">
        <v>17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7:18"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2:18">
      <c r="B37" s="7" t="s">
        <v>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2:2">
      <c r="B38" t="s">
        <v>18</v>
      </c>
    </row>
    <row r="39" spans="3:3">
      <c r="C39" t="s">
        <v>19</v>
      </c>
    </row>
    <row r="40" spans="4:4">
      <c r="D40" t="s">
        <v>20</v>
      </c>
    </row>
    <row r="41" spans="3:3">
      <c r="C41" t="s">
        <v>21</v>
      </c>
    </row>
    <row r="42" spans="4:4">
      <c r="D42" t="s">
        <v>22</v>
      </c>
    </row>
    <row r="43" spans="4:4">
      <c r="D43" t="s">
        <v>23</v>
      </c>
    </row>
    <row r="44" spans="4:4">
      <c r="D44" t="s">
        <v>24</v>
      </c>
    </row>
    <row r="45" spans="4:4">
      <c r="D45" t="s">
        <v>25</v>
      </c>
    </row>
    <row r="46" spans="4:4">
      <c r="D46" t="s">
        <v>26</v>
      </c>
    </row>
    <row r="47" spans="4:4">
      <c r="D47" t="s">
        <v>27</v>
      </c>
    </row>
    <row r="48" spans="4:4">
      <c r="D48" t="s">
        <v>28</v>
      </c>
    </row>
    <row r="49" spans="4:4">
      <c r="D49" t="s">
        <v>29</v>
      </c>
    </row>
    <row r="50" spans="4:4">
      <c r="D50" t="s">
        <v>30</v>
      </c>
    </row>
    <row r="51" spans="4:4">
      <c r="D51" t="s">
        <v>31</v>
      </c>
    </row>
    <row r="52" spans="4:4">
      <c r="D52" t="s">
        <v>32</v>
      </c>
    </row>
    <row r="53" spans="4:4">
      <c r="D53" t="s">
        <v>33</v>
      </c>
    </row>
    <row r="54" spans="4:4">
      <c r="D54" t="s">
        <v>34</v>
      </c>
    </row>
    <row r="55" spans="4:4">
      <c r="D55" t="s">
        <v>35</v>
      </c>
    </row>
    <row r="56" spans="4:4">
      <c r="D56" t="s">
        <v>36</v>
      </c>
    </row>
    <row r="57" spans="5:5">
      <c r="E57" t="s">
        <v>37</v>
      </c>
    </row>
    <row r="58" spans="5:5">
      <c r="E58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D17"/>
  <sheetViews>
    <sheetView workbookViewId="0">
      <selection activeCell="E1" sqref="E1"/>
    </sheetView>
  </sheetViews>
  <sheetFormatPr defaultColWidth="8.72727272727273" defaultRowHeight="14.5" outlineLevelCol="3"/>
  <sheetData>
    <row r="5" spans="3:3">
      <c r="C5" t="s">
        <v>39</v>
      </c>
    </row>
    <row r="6" spans="4:4">
      <c r="D6" s="8" t="s">
        <v>40</v>
      </c>
    </row>
    <row r="7" spans="4:4">
      <c r="D7" s="8" t="s">
        <v>41</v>
      </c>
    </row>
    <row r="8" spans="4:4">
      <c r="D8" s="8" t="s">
        <v>42</v>
      </c>
    </row>
    <row r="9" spans="4:4">
      <c r="D9" s="8" t="s">
        <v>43</v>
      </c>
    </row>
    <row r="10" spans="4:4">
      <c r="D10" s="8" t="s">
        <v>44</v>
      </c>
    </row>
    <row r="12" spans="3:3">
      <c r="C12" t="s">
        <v>45</v>
      </c>
    </row>
    <row r="13" spans="4:4">
      <c r="D13" s="7" t="s">
        <v>40</v>
      </c>
    </row>
    <row r="14" spans="4:4">
      <c r="D14" s="7" t="s">
        <v>46</v>
      </c>
    </row>
    <row r="15" spans="4:4">
      <c r="D15" s="7" t="s">
        <v>47</v>
      </c>
    </row>
    <row r="16" spans="4:4">
      <c r="D16" s="7" t="s">
        <v>48</v>
      </c>
    </row>
    <row r="17" spans="4:4">
      <c r="D17" s="7" t="s">
        <v>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4:C15"/>
  <sheetViews>
    <sheetView topLeftCell="A10" workbookViewId="0">
      <selection activeCell="E36" sqref="E36"/>
    </sheetView>
  </sheetViews>
  <sheetFormatPr defaultColWidth="8.72727272727273" defaultRowHeight="14.5" outlineLevelCol="2"/>
  <sheetData>
    <row r="14" spans="3:3">
      <c r="C14" t="s">
        <v>50</v>
      </c>
    </row>
    <row r="15" spans="3:3">
      <c r="C15" t="s">
        <v>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1"/>
  <sheetViews>
    <sheetView tabSelected="1" workbookViewId="0">
      <selection activeCell="B12" sqref="B12"/>
    </sheetView>
  </sheetViews>
  <sheetFormatPr defaultColWidth="8.72727272727273" defaultRowHeight="14.5"/>
  <sheetData>
    <row r="5" spans="2:2">
      <c r="B5" t="s">
        <v>52</v>
      </c>
    </row>
    <row r="6" spans="2:2">
      <c r="B6" t="s">
        <v>53</v>
      </c>
    </row>
    <row r="8" spans="2:10">
      <c r="B8" s="2" t="s">
        <v>7</v>
      </c>
      <c r="C8" s="2"/>
      <c r="D8" s="2"/>
      <c r="E8" s="2"/>
      <c r="F8" s="2"/>
      <c r="G8" s="2"/>
      <c r="H8" s="2"/>
      <c r="I8" s="2"/>
      <c r="J8" s="2"/>
    </row>
    <row r="9" spans="2:2">
      <c r="B9" t="s">
        <v>54</v>
      </c>
    </row>
    <row r="10" spans="2:6">
      <c r="B10" t="s">
        <v>55</v>
      </c>
      <c r="C10" t="s">
        <v>56</v>
      </c>
      <c r="D10">
        <v>25</v>
      </c>
      <c r="E10">
        <v>50</v>
      </c>
      <c r="F10">
        <v>100</v>
      </c>
    </row>
    <row r="11" spans="2:2">
      <c r="B11" t="s">
        <v>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2"/>
  <sheetViews>
    <sheetView workbookViewId="0">
      <selection activeCell="D31" sqref="D31"/>
    </sheetView>
  </sheetViews>
  <sheetFormatPr defaultColWidth="8.72727272727273" defaultRowHeight="14.5" outlineLevelRow="1" outlineLevelCol="1"/>
  <sheetData>
    <row r="1" spans="2:2">
      <c r="B1" t="s">
        <v>6</v>
      </c>
    </row>
    <row r="2" spans="2:2">
      <c r="B2" t="s">
        <v>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5"/>
  <sheetViews>
    <sheetView workbookViewId="0">
      <selection activeCell="B5" sqref="B5"/>
    </sheetView>
  </sheetViews>
  <sheetFormatPr defaultColWidth="8.72727272727273" defaultRowHeight="14.5" outlineLevelRow="4" outlineLevelCol="1"/>
  <sheetData>
    <row r="3" spans="2:2">
      <c r="B3" t="s">
        <v>59</v>
      </c>
    </row>
    <row r="4" spans="2:2">
      <c r="B4" t="s">
        <v>60</v>
      </c>
    </row>
    <row r="5" spans="2:2">
      <c r="B5" t="s">
        <v>61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9"/>
  <sheetViews>
    <sheetView workbookViewId="0">
      <selection activeCell="D7" sqref="D7"/>
    </sheetView>
  </sheetViews>
  <sheetFormatPr defaultColWidth="8.72727272727273" defaultRowHeight="14.5" outlineLevelCol="3"/>
  <cols>
    <col min="3" max="3" width="30.4545454545455" customWidth="1"/>
  </cols>
  <sheetData>
    <row r="3" spans="2:2">
      <c r="B3" t="s">
        <v>62</v>
      </c>
    </row>
    <row r="4" spans="3:3">
      <c r="C4" t="s">
        <v>3</v>
      </c>
    </row>
    <row r="5" spans="3:4">
      <c r="C5" t="s">
        <v>63</v>
      </c>
      <c r="D5" t="s">
        <v>64</v>
      </c>
    </row>
    <row r="6" spans="3:4">
      <c r="C6" t="s">
        <v>65</v>
      </c>
      <c r="D6" t="s">
        <v>66</v>
      </c>
    </row>
    <row r="7" spans="3:4">
      <c r="C7" t="s">
        <v>67</v>
      </c>
      <c r="D7" t="s">
        <v>68</v>
      </c>
    </row>
    <row r="8" spans="3:4">
      <c r="C8" t="s">
        <v>69</v>
      </c>
      <c r="D8" t="s">
        <v>70</v>
      </c>
    </row>
    <row r="9" spans="3:3">
      <c r="C9" t="s">
        <v>71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9"/>
  <sheetViews>
    <sheetView zoomScale="120" zoomScaleNormal="120" workbookViewId="0">
      <selection activeCell="N30" sqref="N30"/>
    </sheetView>
  </sheetViews>
  <sheetFormatPr defaultColWidth="8.72727272727273" defaultRowHeight="14.5" outlineLevelCol="2"/>
  <sheetData>
    <row r="2" spans="2:2">
      <c r="B2" t="s">
        <v>72</v>
      </c>
    </row>
    <row r="3" spans="3:3">
      <c r="C3" t="s">
        <v>73</v>
      </c>
    </row>
    <row r="4" spans="3:3">
      <c r="C4" t="s">
        <v>74</v>
      </c>
    </row>
    <row r="5" spans="3:3">
      <c r="C5" t="s">
        <v>75</v>
      </c>
    </row>
    <row r="6" spans="3:3">
      <c r="C6" t="s">
        <v>76</v>
      </c>
    </row>
    <row r="7" spans="3:3">
      <c r="C7" t="s">
        <v>77</v>
      </c>
    </row>
    <row r="9" spans="3:3">
      <c r="C9" t="s">
        <v>78</v>
      </c>
    </row>
    <row r="10" spans="3:3">
      <c r="C10" t="s">
        <v>79</v>
      </c>
    </row>
    <row r="11" spans="3:3">
      <c r="C11" t="s">
        <v>80</v>
      </c>
    </row>
    <row r="12" spans="3:3">
      <c r="C12" t="s">
        <v>81</v>
      </c>
    </row>
    <row r="13" spans="3:3">
      <c r="C13" t="s">
        <v>82</v>
      </c>
    </row>
    <row r="14" spans="3:3">
      <c r="C14" t="s">
        <v>83</v>
      </c>
    </row>
    <row r="15" spans="3:3">
      <c r="C15" t="s">
        <v>84</v>
      </c>
    </row>
    <row r="16" spans="3:3">
      <c r="C16" t="s">
        <v>85</v>
      </c>
    </row>
    <row r="17" spans="3:3">
      <c r="C17" s="1" t="s">
        <v>86</v>
      </c>
    </row>
    <row r="19" spans="3:3">
      <c r="C19" t="s">
        <v>87</v>
      </c>
    </row>
    <row r="20" spans="3:3">
      <c r="C20" t="s">
        <v>88</v>
      </c>
    </row>
    <row r="21" spans="3:3">
      <c r="C21" t="s">
        <v>89</v>
      </c>
    </row>
    <row r="22" spans="3:3">
      <c r="C22" t="s">
        <v>90</v>
      </c>
    </row>
    <row r="23" spans="3:3">
      <c r="C23" t="s">
        <v>91</v>
      </c>
    </row>
    <row r="24" spans="3:3">
      <c r="C24" t="s">
        <v>92</v>
      </c>
    </row>
    <row r="25" spans="3:3">
      <c r="C25" t="s">
        <v>93</v>
      </c>
    </row>
    <row r="26" spans="3:3">
      <c r="C26" t="s">
        <v>94</v>
      </c>
    </row>
    <row r="27" spans="3:3">
      <c r="C27" t="s">
        <v>95</v>
      </c>
    </row>
    <row r="28" spans="3:3">
      <c r="C28" t="s">
        <v>96</v>
      </c>
    </row>
    <row r="29" spans="3:3">
      <c r="C29" t="s">
        <v>97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B5"/>
  <sheetViews>
    <sheetView workbookViewId="0">
      <selection activeCell="D14" sqref="D14"/>
    </sheetView>
  </sheetViews>
  <sheetFormatPr defaultColWidth="8.72727272727273" defaultRowHeight="14.5" outlineLevelRow="4" outlineLevelCol="1"/>
  <sheetData>
    <row r="4" spans="2:2">
      <c r="B4" t="s">
        <v>98</v>
      </c>
    </row>
    <row r="5" spans="2:2">
      <c r="B5" t="s">
        <v>99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1" sqref="G21"/>
    </sheetView>
  </sheetViews>
  <sheetFormatPr defaultColWidth="8.72727272727273" defaultRowHeight="14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workbookViewId="0">
      <selection activeCell="B4" sqref="B4"/>
    </sheetView>
  </sheetViews>
  <sheetFormatPr defaultColWidth="8.72727272727273" defaultRowHeight="14.5" outlineLevelRow="2" outlineLevelCol="1"/>
  <sheetData>
    <row r="3" spans="2:2">
      <c r="B3" t="s">
        <v>100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Start</vt:lpstr>
      <vt:lpstr>FLIP</vt:lpstr>
      <vt:lpstr>flipcoin2</vt:lpstr>
      <vt:lpstr>EMA</vt:lpstr>
      <vt:lpstr>SNR</vt:lpstr>
      <vt:lpstr>SND</vt:lpstr>
      <vt:lpstr>SMC</vt:lpstr>
      <vt:lpstr>AVERAGING</vt:lpstr>
      <vt:lpstr>HEDGING</vt:lpstr>
      <vt:lpstr>INDICATOR</vt:lpstr>
      <vt:lpstr>Psicho</vt:lpstr>
      <vt:lpstr>Breakout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2025-10-22T11:45:00Z</dcterms:created>
  <dcterms:modified xsi:type="dcterms:W3CDTF">2025-11-05T01:12:04Z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EE80858BE9BC4698B027ED81FA647133_11</vt:lpwstr>
  </property>
  <property fmtid="{D5CDD505-2E9C-101B-9397-08002B2CF9AE}" pid="3" name="KSOProductBuildVer">
    <vt:lpwstr>1033-12.2.0.23131</vt:lpwstr>
  </property>
  <property fmtid="{D5CDD505-2E9C-101B-9397-08002B2CF9AE}" pid="4" name="KSOReadingLayout">
    <vt:bool>false</vt:bool>
  </property>
</Properties>
</file>